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ishnu\DA\"/>
    </mc:Choice>
  </mc:AlternateContent>
  <xr:revisionPtr revIDLastSave="0" documentId="8_{2D3C3FE6-E714-4E18-9CBE-41246D70861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es - Logical Functions" sheetId="1" r:id="rId1"/>
    <sheet name="Examples - Logical Functions" sheetId="2" r:id="rId2"/>
    <sheet name="Tasks - Logical Fun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mr1cMaRPRRKuyDe2Ab8I5/Tyt9vFMJ+wm7T2yFsZg4="/>
    </ext>
  </extLst>
</workbook>
</file>

<file path=xl/calcChain.xml><?xml version="1.0" encoding="utf-8"?>
<calcChain xmlns="http://schemas.openxmlformats.org/spreadsheetml/2006/main">
  <c r="Q5" i="3" l="1"/>
  <c r="Q6" i="3"/>
  <c r="Q7" i="3"/>
  <c r="Q8" i="3"/>
  <c r="Q9" i="3"/>
  <c r="Q10" i="3"/>
  <c r="Q11" i="3"/>
  <c r="Q4" i="3"/>
  <c r="O5" i="3"/>
  <c r="O6" i="3"/>
  <c r="O7" i="3"/>
  <c r="O8" i="3"/>
  <c r="O9" i="3"/>
  <c r="O10" i="3"/>
  <c r="O11" i="3"/>
  <c r="O4" i="3"/>
  <c r="P5" i="3"/>
  <c r="P6" i="3"/>
  <c r="P7" i="3"/>
  <c r="P8" i="3"/>
  <c r="P9" i="3"/>
  <c r="P10" i="3"/>
  <c r="P11" i="3"/>
  <c r="P4" i="3"/>
  <c r="N5" i="3"/>
  <c r="N6" i="3"/>
  <c r="N7" i="3"/>
  <c r="N8" i="3"/>
  <c r="N9" i="3"/>
  <c r="N10" i="3"/>
  <c r="N11" i="3"/>
  <c r="N4" i="3"/>
  <c r="M5" i="3"/>
  <c r="M6" i="3"/>
  <c r="M7" i="3"/>
  <c r="M8" i="3"/>
  <c r="M9" i="3"/>
  <c r="M10" i="3"/>
  <c r="M11" i="3"/>
  <c r="M4" i="3"/>
  <c r="L11" i="3"/>
  <c r="L5" i="3"/>
  <c r="L6" i="3"/>
  <c r="L7" i="3"/>
  <c r="L8" i="3"/>
  <c r="L9" i="3"/>
  <c r="L10" i="3"/>
  <c r="L4" i="3"/>
  <c r="H4" i="3"/>
  <c r="H5" i="3"/>
  <c r="H6" i="3"/>
  <c r="H7" i="3"/>
  <c r="H8" i="3"/>
  <c r="H9" i="3"/>
  <c r="H10" i="3"/>
  <c r="H11" i="3"/>
  <c r="J10" i="2"/>
  <c r="J9" i="2"/>
  <c r="J8" i="2"/>
  <c r="J7" i="2"/>
  <c r="J6" i="2"/>
  <c r="J5" i="3" a="1"/>
  <c r="J5" i="3" s="1"/>
  <c r="J6" i="3" a="1"/>
  <c r="J6" i="3" s="1"/>
  <c r="J7" i="3" a="1"/>
  <c r="J7" i="3" s="1"/>
  <c r="J8" i="3" a="1"/>
  <c r="J8" i="3" s="1"/>
  <c r="J9" i="3" a="1"/>
  <c r="J9" i="3" s="1"/>
  <c r="J10" i="3" a="1"/>
  <c r="J10" i="3" s="1"/>
  <c r="J11" i="3" a="1"/>
  <c r="J11" i="3" s="1"/>
  <c r="J4" i="3" a="1"/>
  <c r="J4" i="3" s="1"/>
  <c r="I5" i="3"/>
  <c r="I6" i="3"/>
  <c r="I7" i="3"/>
  <c r="I8" i="3"/>
  <c r="I9" i="3"/>
  <c r="I10" i="3"/>
  <c r="I11" i="3"/>
  <c r="I4" i="3"/>
  <c r="J5" i="2" a="1"/>
  <c r="J5" i="2"/>
  <c r="J4" i="2" a="1"/>
  <c r="J4" i="2" s="1"/>
  <c r="J3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<sst xmlns="http://schemas.openxmlformats.org/spreadsheetml/2006/main" count="137" uniqueCount="114">
  <si>
    <t>LOGICAL FUNCTIONS — NOTES</t>
  </si>
  <si>
    <t>Functions covered:  IF  |  IFS  |  AND  |  OR</t>
  </si>
  <si>
    <t>Function</t>
  </si>
  <si>
    <t>What It Does</t>
  </si>
  <si>
    <t>Syntax</t>
  </si>
  <si>
    <t>Key Point</t>
  </si>
  <si>
    <t>Example Use</t>
  </si>
  <si>
    <t>IF</t>
  </si>
  <si>
    <t>Checks one condition. Returns one value if TRUE, another if FALSE.</t>
  </si>
  <si>
    <t>=IF(condition, value_if_true, value_if_false)</t>
  </si>
  <si>
    <t>All three parts are required.
You can nest IF inside IF for multiple outcomes — but IFS is cleaner for that.</t>
  </si>
  <si>
    <t>=IF(A2&gt;=50,"Pass","Fail")</t>
  </si>
  <si>
    <t>IFS</t>
  </si>
  <si>
    <t>Checks multiple conditions one by one. Returns the value for the first condition that is TRUE.</t>
  </si>
  <si>
    <t>=IFS(cond1, val1, cond2, val2, ...)</t>
  </si>
  <si>
    <t>Checks conditions in order — stops at the first TRUE.
Add TRUE as the last condition to handle all remaining cases (acts as ELSE).</t>
  </si>
  <si>
    <t>=IFS(A2&gt;=80,"A", A2&gt;=60,"B", A2&gt;=40,"C", TRUE,"F")</t>
  </si>
  <si>
    <t>AND</t>
  </si>
  <si>
    <t>Returns TRUE only if ALL conditions are TRUE. Returns FALSE if even one is FALSE.</t>
  </si>
  <si>
    <t>=AND(condition1, condition2, ...)</t>
  </si>
  <si>
    <t>Rarely used alone — almost always used inside IF.
=IF(AND(...), "Yes", "No")</t>
  </si>
  <si>
    <t>=IF(AND(B2&gt;=50, C2&gt;=50), "Pass", "Fail")
Pass only if both scores are 50 or above</t>
  </si>
  <si>
    <t>OR</t>
  </si>
  <si>
    <t>Returns TRUE if AT LEAST ONE condition is TRUE. Returns FALSE only if all are FALSE.</t>
  </si>
  <si>
    <t>=OR(condition1, condition2, ...)</t>
  </si>
  <si>
    <t>Rarely used alone — almost always used inside IF.
=IF(OR(...), "Yes", "No")</t>
  </si>
  <si>
    <t>=IF(OR(B2="Gold", B2="Silver"), "Eligible", "Not Eligible")
Eligible if either condition matches</t>
  </si>
  <si>
    <t>AND = ALL conditions must be TRUE  |  OR = ANY ONE condition must be TRUE  |  Both are usually wrapped inside IF</t>
  </si>
  <si>
    <t xml:space="preserve">LOGICAL FUNCTIONS — EXAMPLES  </t>
  </si>
  <si>
    <t>What it answers</t>
  </si>
  <si>
    <t>Result</t>
  </si>
  <si>
    <t>Formula (text)</t>
  </si>
  <si>
    <t>Scenario: Semester exam results for a college batch</t>
  </si>
  <si>
    <t>Did Aditi pass Maths? (Pass if score &gt;= 50)</t>
  </si>
  <si>
    <t>=IF(B4&gt;=50,"Pass","Fail")</t>
  </si>
  <si>
    <t>Student</t>
  </si>
  <si>
    <t>Maths</t>
  </si>
  <si>
    <t>Science</t>
  </si>
  <si>
    <t>English</t>
  </si>
  <si>
    <t>Attendance %</t>
  </si>
  <si>
    <t>Scholarship</t>
  </si>
  <si>
    <t>Is Aditi's attendance Good or Low?</t>
  </si>
  <si>
    <t>=IF(E4&gt;=75,"Good","Low")</t>
  </si>
  <si>
    <t>Aditi</t>
  </si>
  <si>
    <t>Yes</t>
  </si>
  <si>
    <t>What is Aditi's Maths grade?</t>
  </si>
  <si>
    <t>=IFS(B4&gt;=80,"A",B4&gt;=60,"B",B4&gt;=40,"C",TRUE,"F")</t>
  </si>
  <si>
    <t>Bhuvan</t>
  </si>
  <si>
    <t>No</t>
  </si>
  <si>
    <t>What is Bhuvan's Maths grade?</t>
  </si>
  <si>
    <t>=IFS(B5&gt;=80,"A",B5&gt;=60,"B",B5&gt;=40,"C",TRUE,"F")</t>
  </si>
  <si>
    <t>Chitra</t>
  </si>
  <si>
    <t>AND inside IF</t>
  </si>
  <si>
    <t>Did Aditi pass ALL 3 subjects?</t>
  </si>
  <si>
    <t>=IF(AND(B4&gt;=50,C4&gt;=50,D4&gt;=50),"Pass","Fail")</t>
  </si>
  <si>
    <t>Deepak</t>
  </si>
  <si>
    <t>Did Deepak pass ALL 3 subjects?</t>
  </si>
  <si>
    <t>=IF(AND(B6&gt;=50,C6&gt;=50,D6&gt;=50),"Pass","Fail")</t>
  </si>
  <si>
    <t>Esha</t>
  </si>
  <si>
    <t>OR inside IF</t>
  </si>
  <si>
    <t>Did Aditi score 90+ in ANY subject?</t>
  </si>
  <si>
    <t>=IF(OR(B4&gt;=90,C4&gt;=90,D4&gt;=90),"Distinction","No")</t>
  </si>
  <si>
    <t>Farhan</t>
  </si>
  <si>
    <t>Is Aditi eligible for award? (Scholarship OR Attendance &gt;= 90)</t>
  </si>
  <si>
    <t>=IF(OR(F4="Yes",E4&gt;=90),"Award","No")</t>
  </si>
  <si>
    <t>Geetha</t>
  </si>
  <si>
    <t>AND + OR in IF</t>
  </si>
  <si>
    <t>Merit if Attendance&gt;=80 AND (Maths OR Science &gt;= 75)</t>
  </si>
  <si>
    <t>=IF(AND(E4&gt;=80,OR(B4&gt;=75,C4&gt;=75)),"Merit","No")</t>
  </si>
  <si>
    <t>Harish</t>
  </si>
  <si>
    <t>LOGICAL FUNCTIONS — TASKS</t>
  </si>
  <si>
    <t>Scenario: Loan applications reviewed by a bank</t>
  </si>
  <si>
    <t>Applicant</t>
  </si>
  <si>
    <t>Credit Score</t>
  </si>
  <si>
    <t>Monthly Income (₹)</t>
  </si>
  <si>
    <t>Existing Loan</t>
  </si>
  <si>
    <t>Age</t>
  </si>
  <si>
    <t>Ramesh K</t>
  </si>
  <si>
    <t>Sunita P</t>
  </si>
  <si>
    <t>Mohan V</t>
  </si>
  <si>
    <t>Anita D</t>
  </si>
  <si>
    <t>Prakash N</t>
  </si>
  <si>
    <t>Kaveri S</t>
  </si>
  <si>
    <t>Deepraj T</t>
  </si>
  <si>
    <t>Meenakshi R</t>
  </si>
  <si>
    <t>Task</t>
  </si>
  <si>
    <t>Indirect Hint</t>
  </si>
  <si>
    <t>Task 1</t>
  </si>
  <si>
    <t>Check whether the applicant's Credit Score meets the minimum requirement of 650. Based on the result, display either Approve or Reject.</t>
  </si>
  <si>
    <t>Task 2</t>
  </si>
  <si>
    <t>Compare the Monthly Income with the threshold of 60,000 and categorize the applicant as High Income or Standard.</t>
  </si>
  <si>
    <t>Task 3</t>
  </si>
  <si>
    <t>Assign a grade by comparing the Credit Score with these ranges: 750+, 650+, 550+, and below 550.</t>
  </si>
  <si>
    <t>Task 4</t>
  </si>
  <si>
    <t>Apply the same grading criteria from Task 3 to every applicant in the dataset.</t>
  </si>
  <si>
    <t>Task 5</t>
  </si>
  <si>
    <t>Determine approval by checking whether the Credit Score reaches 650 and whether the applicant does not have an existing loan.</t>
  </si>
  <si>
    <t>Task 6</t>
  </si>
  <si>
    <t>Determine approval only if the applicant satisfies both minimum requirements: Credit Score of 700 and Monthly Income of 50,000.</t>
  </si>
  <si>
    <t>Task 7</t>
  </si>
  <si>
    <t>Mark an applicant as Review when the Credit Score is below 600 or when the applicant already has an existing loan.</t>
  </si>
  <si>
    <t>Task 8</t>
  </si>
  <si>
    <t>Label an applicant as Priority if they meet either of these benchmarks: Credit Score of 750 or Monthly Income of 80,000.</t>
  </si>
  <si>
    <t>Task 9</t>
  </si>
  <si>
    <t>Approve an applicant only after verifying these minimum requirements: Credit Score of 650, Monthly Income of 40,000, and no existing loan.</t>
  </si>
  <si>
    <t>Task 10</t>
  </si>
  <si>
    <t>Check whether the applicant is 50 years old or younger and also satisfies at least one financial requirement: Credit Score of 700 or Monthly Income of 70,000.</t>
  </si>
  <si>
    <t>Credit_Score&gt;650</t>
  </si>
  <si>
    <t>Income</t>
  </si>
  <si>
    <t>Grade</t>
  </si>
  <si>
    <t>Eligibility for Loan</t>
  </si>
  <si>
    <t>Review</t>
  </si>
  <si>
    <t>Loan Approval</t>
  </si>
  <si>
    <t>Priority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</si>
</sst>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1F3864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9"/>
      <color rgb="FF1F497D"/>
      <name val="Courier New"/>
    </font>
    <font>
      <i/>
      <sz val="9"/>
      <color rgb="FF000000"/>
      <name val="Arial"/>
    </font>
    <font>
      <sz val="9"/>
      <color theme="1"/>
      <name val="Arial"/>
    </font>
    <font>
      <b/>
      <sz val="10"/>
      <color rgb="FF7B0000"/>
      <name val="Arial"/>
    </font>
    <font>
      <b/>
      <sz val="9"/>
      <color rgb="FF1F3864"/>
      <name val="Arial"/>
    </font>
    <font>
      <b/>
      <sz val="10"/>
      <color rgb="FF375623"/>
      <name val="Arial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0"/>
      <color rgb="FF1F3864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zoomScale="140" workbookViewId="0">
      <selection activeCell="C10" sqref="C10"/>
    </sheetView>
  </sheetViews>
  <sheetFormatPr defaultColWidth="14.44140625" defaultRowHeight="15" customHeight="1"/>
  <cols>
    <col min="1" max="1" width="13" customWidth="1"/>
    <col min="2" max="2" width="28.5546875" customWidth="1"/>
    <col min="3" max="3" width="42" customWidth="1"/>
    <col min="4" max="5" width="44" customWidth="1"/>
    <col min="6" max="26" width="8.5546875" customWidth="1"/>
  </cols>
  <sheetData>
    <row r="1" spans="1:5" ht="19.5" customHeight="1">
      <c r="A1" s="25" t="s">
        <v>0</v>
      </c>
      <c r="B1" s="26"/>
      <c r="C1" s="26"/>
      <c r="D1" s="26"/>
      <c r="E1" s="27"/>
    </row>
    <row r="2" spans="1:5" ht="21" customHeight="1">
      <c r="A2" s="28" t="s">
        <v>1</v>
      </c>
      <c r="B2" s="26"/>
      <c r="C2" s="26"/>
      <c r="D2" s="26"/>
      <c r="E2" s="27"/>
    </row>
    <row r="3" spans="1:5" ht="20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39.6">
      <c r="A4" s="2" t="s">
        <v>7</v>
      </c>
      <c r="B4" s="3" t="s">
        <v>8</v>
      </c>
      <c r="C4" s="4" t="s">
        <v>9</v>
      </c>
      <c r="D4" s="5" t="s">
        <v>10</v>
      </c>
      <c r="E4" s="6" t="s">
        <v>11</v>
      </c>
    </row>
    <row r="5" spans="1:5" ht="39.6">
      <c r="A5" s="7" t="s">
        <v>12</v>
      </c>
      <c r="B5" s="8" t="s">
        <v>13</v>
      </c>
      <c r="C5" s="4" t="s">
        <v>14</v>
      </c>
      <c r="D5" s="9" t="s">
        <v>15</v>
      </c>
      <c r="E5" s="10" t="s">
        <v>16</v>
      </c>
    </row>
    <row r="6" spans="1:5" ht="39.6">
      <c r="A6" s="2" t="s">
        <v>17</v>
      </c>
      <c r="B6" s="3" t="s">
        <v>18</v>
      </c>
      <c r="C6" s="4" t="s">
        <v>19</v>
      </c>
      <c r="D6" s="5" t="s">
        <v>20</v>
      </c>
      <c r="E6" s="6" t="s">
        <v>21</v>
      </c>
    </row>
    <row r="7" spans="1:5" ht="39.6">
      <c r="A7" s="7" t="s">
        <v>22</v>
      </c>
      <c r="B7" s="8" t="s">
        <v>23</v>
      </c>
      <c r="C7" s="4" t="s">
        <v>24</v>
      </c>
      <c r="D7" s="9" t="s">
        <v>25</v>
      </c>
      <c r="E7" s="10" t="s">
        <v>26</v>
      </c>
    </row>
    <row r="8" spans="1:5" ht="14.25" customHeight="1"/>
    <row r="9" spans="1:5" ht="14.25" customHeight="1">
      <c r="A9" s="29" t="s">
        <v>27</v>
      </c>
      <c r="B9" s="26"/>
      <c r="C9" s="26"/>
      <c r="D9" s="26"/>
      <c r="E9" s="27"/>
    </row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E2"/>
    <mergeCell ref="A9:E9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C2" zoomScale="179" zoomScaleNormal="156" workbookViewId="0">
      <selection activeCell="J11" sqref="J11"/>
    </sheetView>
  </sheetViews>
  <sheetFormatPr defaultColWidth="14.44140625" defaultRowHeight="15" customHeight="1"/>
  <cols>
    <col min="1" max="1" width="7.5546875" customWidth="1"/>
    <col min="2" max="2" width="6.109375" customWidth="1"/>
    <col min="3" max="3" width="7.5546875" customWidth="1"/>
    <col min="4" max="4" width="7.109375" customWidth="1"/>
    <col min="5" max="5" width="12.5546875" customWidth="1"/>
    <col min="6" max="6" width="11" customWidth="1"/>
    <col min="7" max="7" width="8.5546875" customWidth="1"/>
    <col min="8" max="8" width="12.5546875" customWidth="1"/>
    <col min="9" max="9" width="51.5546875" customWidth="1"/>
    <col min="10" max="10" width="14.6640625" customWidth="1"/>
    <col min="11" max="11" width="53.109375" customWidth="1"/>
    <col min="12" max="25" width="8.5546875" customWidth="1"/>
  </cols>
  <sheetData>
    <row r="1" spans="1:11" ht="31.5" customHeight="1">
      <c r="A1" s="25" t="s">
        <v>28</v>
      </c>
      <c r="B1" s="26"/>
      <c r="C1" s="26"/>
      <c r="D1" s="26"/>
      <c r="E1" s="26"/>
      <c r="F1" s="27"/>
      <c r="H1" s="1" t="s">
        <v>2</v>
      </c>
      <c r="I1" s="11" t="s">
        <v>29</v>
      </c>
      <c r="J1" s="1" t="s">
        <v>30</v>
      </c>
      <c r="K1" s="1" t="s">
        <v>31</v>
      </c>
    </row>
    <row r="2" spans="1:11" ht="18" customHeight="1">
      <c r="A2" s="28" t="s">
        <v>32</v>
      </c>
      <c r="B2" s="26"/>
      <c r="C2" s="26"/>
      <c r="D2" s="26"/>
      <c r="E2" s="26"/>
      <c r="F2" s="27"/>
      <c r="H2" s="12" t="s">
        <v>7</v>
      </c>
      <c r="I2" s="13" t="s">
        <v>33</v>
      </c>
      <c r="J2" s="14" t="str">
        <f>IF(B4&gt;=50,"Pass","Fail")</f>
        <v>Pass</v>
      </c>
      <c r="K2" s="15" t="s">
        <v>34</v>
      </c>
    </row>
    <row r="3" spans="1:11" ht="19.5" customHeight="1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H3" s="12" t="s">
        <v>7</v>
      </c>
      <c r="I3" s="13" t="s">
        <v>41</v>
      </c>
      <c r="J3" s="14" t="str">
        <f>IF(E4&gt;70,"Good","Low")</f>
        <v>Good</v>
      </c>
      <c r="K3" s="15" t="s">
        <v>42</v>
      </c>
    </row>
    <row r="4" spans="1:11" ht="19.5" customHeight="1">
      <c r="A4" s="8" t="s">
        <v>43</v>
      </c>
      <c r="B4" s="16">
        <v>91</v>
      </c>
      <c r="C4" s="16">
        <v>80</v>
      </c>
      <c r="D4" s="16">
        <v>95</v>
      </c>
      <c r="E4" s="16">
        <v>95</v>
      </c>
      <c r="F4" s="16" t="s">
        <v>44</v>
      </c>
      <c r="H4" s="12" t="s">
        <v>12</v>
      </c>
      <c r="I4" s="13" t="s">
        <v>45</v>
      </c>
      <c r="J4" s="14" t="str" cm="1">
        <f t="array" ref="J4">_xlfn.IFS(B4&gt;=80,"A",B4&gt;=60,"B",B4&gt;=40,"C",B4&lt;40,"Fail")</f>
        <v>A</v>
      </c>
      <c r="K4" s="15" t="s">
        <v>46</v>
      </c>
    </row>
    <row r="5" spans="1:11" ht="19.5" customHeight="1">
      <c r="A5" s="3" t="s">
        <v>47</v>
      </c>
      <c r="B5" s="17">
        <v>45</v>
      </c>
      <c r="C5" s="17">
        <v>52</v>
      </c>
      <c r="D5" s="17">
        <v>40</v>
      </c>
      <c r="E5" s="17">
        <v>78</v>
      </c>
      <c r="F5" s="17" t="s">
        <v>48</v>
      </c>
      <c r="H5" s="12" t="s">
        <v>12</v>
      </c>
      <c r="I5" s="13" t="s">
        <v>49</v>
      </c>
      <c r="J5" s="14" t="str" cm="1">
        <f t="array" ref="J5">_xlfn.IFS(B5&gt;=80,"A",B5&gt;=60,"B",B5&gt;=40,"C",B5&lt;40,"Fail")</f>
        <v>C</v>
      </c>
      <c r="K5" s="15" t="s">
        <v>50</v>
      </c>
    </row>
    <row r="6" spans="1:11" ht="19.5" customHeight="1">
      <c r="A6" s="8" t="s">
        <v>51</v>
      </c>
      <c r="B6" s="16">
        <v>91</v>
      </c>
      <c r="C6" s="16">
        <v>88</v>
      </c>
      <c r="D6" s="16">
        <v>94</v>
      </c>
      <c r="E6" s="16">
        <v>96</v>
      </c>
      <c r="F6" s="16" t="s">
        <v>44</v>
      </c>
      <c r="H6" s="12" t="s">
        <v>52</v>
      </c>
      <c r="I6" s="13" t="s">
        <v>53</v>
      </c>
      <c r="J6" s="14" t="str">
        <f>IF(AND(B4&gt;=50,C4&gt;=50,D4&gt;=50),"Pass","Fail")</f>
        <v>Pass</v>
      </c>
      <c r="K6" s="15" t="s">
        <v>54</v>
      </c>
    </row>
    <row r="7" spans="1:11" ht="19.5" customHeight="1">
      <c r="A7" s="3" t="s">
        <v>55</v>
      </c>
      <c r="B7" s="17">
        <v>55</v>
      </c>
      <c r="C7" s="17">
        <v>49</v>
      </c>
      <c r="D7" s="17">
        <v>60</v>
      </c>
      <c r="E7" s="17">
        <v>65</v>
      </c>
      <c r="F7" s="17" t="s">
        <v>48</v>
      </c>
      <c r="H7" s="12" t="s">
        <v>52</v>
      </c>
      <c r="I7" s="13" t="s">
        <v>56</v>
      </c>
      <c r="J7" s="14" t="str">
        <f>IF(AND(B7&gt;=50,C7&gt;=50,D7&gt;=50),"Pass","Fail")</f>
        <v>Fail</v>
      </c>
      <c r="K7" s="15" t="s">
        <v>57</v>
      </c>
    </row>
    <row r="8" spans="1:11" ht="19.5" customHeight="1">
      <c r="A8" s="8" t="s">
        <v>58</v>
      </c>
      <c r="B8" s="16">
        <v>70</v>
      </c>
      <c r="C8" s="16">
        <v>49</v>
      </c>
      <c r="D8" s="16">
        <v>68</v>
      </c>
      <c r="E8" s="16">
        <v>85</v>
      </c>
      <c r="F8" s="16" t="s">
        <v>48</v>
      </c>
      <c r="H8" s="12" t="s">
        <v>59</v>
      </c>
      <c r="I8" s="13" t="s">
        <v>60</v>
      </c>
      <c r="J8" s="14" t="str">
        <f>IF(OR(B4&gt;90,C4&gt;90,D4&gt;90),"Distinction","No")</f>
        <v>Distinction</v>
      </c>
      <c r="K8" s="15" t="s">
        <v>61</v>
      </c>
    </row>
    <row r="9" spans="1:11" ht="19.5" customHeight="1">
      <c r="A9" s="3" t="s">
        <v>62</v>
      </c>
      <c r="B9" s="17">
        <v>38</v>
      </c>
      <c r="C9" s="17">
        <v>56</v>
      </c>
      <c r="D9" s="17">
        <v>50</v>
      </c>
      <c r="E9" s="17">
        <v>70</v>
      </c>
      <c r="F9" s="17" t="s">
        <v>48</v>
      </c>
      <c r="H9" s="12" t="s">
        <v>59</v>
      </c>
      <c r="I9" s="13" t="s">
        <v>63</v>
      </c>
      <c r="J9" s="14" t="str">
        <f>IF(OR(F104="Yes",E4&gt;=90),"Eligible for award","Not eligible for award")</f>
        <v>Eligible for award</v>
      </c>
      <c r="K9" s="15" t="s">
        <v>64</v>
      </c>
    </row>
    <row r="10" spans="1:11" ht="19.5" customHeight="1">
      <c r="A10" s="8" t="s">
        <v>65</v>
      </c>
      <c r="B10" s="16">
        <v>78</v>
      </c>
      <c r="C10" s="16">
        <v>80</v>
      </c>
      <c r="D10" s="16">
        <v>74</v>
      </c>
      <c r="E10" s="16">
        <v>88</v>
      </c>
      <c r="F10" s="16" t="s">
        <v>44</v>
      </c>
      <c r="H10" s="12" t="s">
        <v>66</v>
      </c>
      <c r="I10" s="13" t="s">
        <v>67</v>
      </c>
      <c r="J10" s="14" t="str">
        <f>IF(AND(E4&gt;=80, OR(B4&gt;=75,C4&gt;=75)),"Merit","No Merit")</f>
        <v>Merit</v>
      </c>
      <c r="K10" s="15" t="s">
        <v>68</v>
      </c>
    </row>
    <row r="11" spans="1:11" ht="19.5" customHeight="1">
      <c r="A11" s="3" t="s">
        <v>69</v>
      </c>
      <c r="B11" s="17">
        <v>60</v>
      </c>
      <c r="C11" s="17">
        <v>58</v>
      </c>
      <c r="D11" s="17">
        <v>65</v>
      </c>
      <c r="E11" s="17">
        <v>55</v>
      </c>
      <c r="F11" s="17" t="s">
        <v>48</v>
      </c>
      <c r="H11" s="18"/>
      <c r="I11" s="19"/>
    </row>
    <row r="12" spans="1:11" ht="14.25" customHeight="1"/>
    <row r="13" spans="1:11" ht="19.5" customHeight="1"/>
    <row r="14" spans="1:11" ht="30" customHeight="1"/>
    <row r="15" spans="1:11" ht="30" customHeight="1"/>
    <row r="16" spans="1:11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13.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89"/>
  <sheetViews>
    <sheetView tabSelected="1" topLeftCell="A4" workbookViewId="0">
      <selection activeCell="Q4" sqref="Q4"/>
    </sheetView>
  </sheetViews>
  <sheetFormatPr defaultColWidth="14.44140625" defaultRowHeight="15" customHeight="1"/>
  <cols>
    <col min="1" max="1" width="13.5546875" customWidth="1"/>
    <col min="2" max="2" width="16.33203125" customWidth="1"/>
    <col min="3" max="3" width="22.44140625" customWidth="1"/>
    <col min="4" max="4" width="19.33203125" customWidth="1"/>
    <col min="5" max="5" width="12" customWidth="1"/>
    <col min="6" max="6" width="4.33203125" customWidth="1"/>
    <col min="7" max="7" width="8.5546875" customWidth="1"/>
    <col min="8" max="8" width="17.88671875" customWidth="1"/>
    <col min="9" max="11" width="8.5546875" customWidth="1"/>
    <col min="12" max="12" width="17.33203125" customWidth="1"/>
    <col min="13" max="13" width="17.6640625" customWidth="1"/>
    <col min="14" max="14" width="15.77734375" customWidth="1"/>
    <col min="15" max="15" width="18.109375" customWidth="1"/>
    <col min="16" max="16" width="14.6640625" customWidth="1"/>
    <col min="17" max="17" width="16.88671875" customWidth="1"/>
    <col min="18" max="23" width="8.5546875" customWidth="1"/>
  </cols>
  <sheetData>
    <row r="1" spans="1:17" ht="31.5" customHeight="1">
      <c r="A1" s="25" t="s">
        <v>70</v>
      </c>
      <c r="B1" s="26"/>
      <c r="C1" s="26"/>
      <c r="D1" s="26"/>
      <c r="E1" s="27"/>
    </row>
    <row r="2" spans="1:17" ht="18" customHeight="1">
      <c r="A2" s="28" t="s">
        <v>71</v>
      </c>
      <c r="B2" s="26"/>
      <c r="C2" s="26"/>
      <c r="D2" s="26"/>
      <c r="E2" s="27"/>
      <c r="H2" s="30">
        <v>1</v>
      </c>
      <c r="I2" s="30">
        <v>2</v>
      </c>
      <c r="J2" s="30">
        <v>3</v>
      </c>
      <c r="K2" s="30">
        <v>4</v>
      </c>
      <c r="L2" s="30">
        <v>5</v>
      </c>
      <c r="M2" s="30">
        <v>6</v>
      </c>
      <c r="N2" s="30">
        <v>7</v>
      </c>
      <c r="O2" s="30">
        <v>8</v>
      </c>
      <c r="P2" s="30">
        <v>9</v>
      </c>
      <c r="Q2" s="30">
        <v>10</v>
      </c>
    </row>
    <row r="3" spans="1:17" ht="19.5" customHeight="1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H3" s="24" t="s">
        <v>107</v>
      </c>
      <c r="I3" s="24" t="s">
        <v>108</v>
      </c>
      <c r="J3" s="24" t="s">
        <v>109</v>
      </c>
      <c r="L3" s="24" t="s">
        <v>110</v>
      </c>
      <c r="M3" s="24" t="s">
        <v>110</v>
      </c>
      <c r="N3" s="24" t="s">
        <v>111</v>
      </c>
      <c r="O3" s="24" t="s">
        <v>113</v>
      </c>
      <c r="P3" s="24" t="s">
        <v>112</v>
      </c>
      <c r="Q3" s="24" t="s">
        <v>76</v>
      </c>
    </row>
    <row r="4" spans="1:17" ht="19.5" customHeight="1">
      <c r="A4" s="8" t="s">
        <v>77</v>
      </c>
      <c r="B4" s="16">
        <v>720</v>
      </c>
      <c r="C4" s="16">
        <v>55000</v>
      </c>
      <c r="D4" s="16" t="s">
        <v>48</v>
      </c>
      <c r="E4" s="16">
        <v>34</v>
      </c>
      <c r="H4" t="str">
        <f>IF(B4&gt;=650,"Approve","Reject")</f>
        <v>Approve</v>
      </c>
      <c r="I4" t="str">
        <f>IF(C4&gt;=60000,"High Income","Standard")</f>
        <v>Standard</v>
      </c>
      <c r="J4" t="str" cm="1">
        <f t="array" ref="J4">_xlfn.IFS(B4&gt;750,"A",B4&gt;650,"B",B4&gt;550,"C",B4&lt;550,"F")</f>
        <v>B</v>
      </c>
      <c r="L4" t="str">
        <f>IF(AND(B4&gt;650,D4="No"),"Eligible","Not Eligible")</f>
        <v>Eligible</v>
      </c>
      <c r="M4" t="str">
        <f>IF(AND(B4&gt;=700,C4&gt;=50000),"Approved","Not Approved")</f>
        <v>Approved</v>
      </c>
      <c r="N4" t="str">
        <f>IF(OR(B4&lt;600,D4="Yes"),"Under Review","Not under review")</f>
        <v>Not under review</v>
      </c>
      <c r="O4" t="str">
        <f>IF(OR(B4&gt;=750,C4&gt;=80000),"Priority","Not priority")</f>
        <v>Not priority</v>
      </c>
      <c r="P4" t="str">
        <f>IF(AND(B4&gt;=650,C4&gt;=40000,D4="No"),"Approved","Not approved")</f>
        <v>Approved</v>
      </c>
      <c r="Q4" t="str">
        <f>IF(AND(E4&lt;=50, OR(B4&gt;=700,C4&gt;=70000)),"Young Customer","Old customer")</f>
        <v>Young Customer</v>
      </c>
    </row>
    <row r="5" spans="1:17" ht="19.5" customHeight="1">
      <c r="A5" s="20" t="s">
        <v>78</v>
      </c>
      <c r="B5" s="21">
        <v>580</v>
      </c>
      <c r="C5" s="21">
        <v>32000</v>
      </c>
      <c r="D5" s="21" t="s">
        <v>44</v>
      </c>
      <c r="E5" s="21">
        <v>28</v>
      </c>
      <c r="H5" t="str">
        <f t="shared" ref="H5:H11" si="0">IF(B5&gt;=650,"Approve","Reject")</f>
        <v>Reject</v>
      </c>
      <c r="I5" t="str">
        <f t="shared" ref="I5:I11" si="1">IF(C5&gt;=60000,"High Income","Standard")</f>
        <v>Standard</v>
      </c>
      <c r="J5" t="str" cm="1">
        <f t="array" ref="J5">_xlfn.IFS(B5&gt;750,"A",B5&gt;650,"B",B5&gt;550,"C",B5&lt;550,"F")</f>
        <v>C</v>
      </c>
      <c r="L5" t="str">
        <f t="shared" ref="L5:L10" si="2">IF(AND(B5&gt;650,D5="No"),"Eligible","Not Eligible")</f>
        <v>Not Eligible</v>
      </c>
      <c r="M5" t="str">
        <f t="shared" ref="M5:M11" si="3">IF(AND(B5&gt;=700,C5&gt;=50000),"Approved","Not Approved")</f>
        <v>Not Approved</v>
      </c>
      <c r="N5" t="str">
        <f t="shared" ref="N5:N11" si="4">IF(OR(B5&lt;600,D5="Yes"),"Under Review","Not under review")</f>
        <v>Under Review</v>
      </c>
      <c r="O5" t="str">
        <f t="shared" ref="O5:O11" si="5">IF(OR(B5&gt;=750,C5&gt;=80000),"Priority","Not priority")</f>
        <v>Not priority</v>
      </c>
      <c r="P5" t="str">
        <f>IF(AND(B5&gt;=650,C5&gt;=40000,D5="No"),"Approved","Not approved")</f>
        <v>Not approved</v>
      </c>
      <c r="Q5" t="str">
        <f t="shared" ref="Q5:Q11" si="6">IF(AND(E5&lt;=50, OR(B5&gt;=700,C5&gt;=70000)),"Young Customer","Old customer")</f>
        <v>Old customer</v>
      </c>
    </row>
    <row r="6" spans="1:17" ht="19.5" customHeight="1">
      <c r="A6" s="8" t="s">
        <v>79</v>
      </c>
      <c r="B6" s="16">
        <v>810</v>
      </c>
      <c r="C6" s="16">
        <v>90000</v>
      </c>
      <c r="D6" s="16" t="s">
        <v>48</v>
      </c>
      <c r="E6" s="16">
        <v>45</v>
      </c>
      <c r="H6" t="str">
        <f t="shared" si="0"/>
        <v>Approve</v>
      </c>
      <c r="I6" t="str">
        <f t="shared" si="1"/>
        <v>High Income</v>
      </c>
      <c r="J6" t="str" cm="1">
        <f t="array" ref="J6">_xlfn.IFS(B6&gt;750,"A",B6&gt;650,"B",B6&gt;550,"C",B6&lt;550,"F")</f>
        <v>A</v>
      </c>
      <c r="L6" t="str">
        <f t="shared" si="2"/>
        <v>Eligible</v>
      </c>
      <c r="M6" t="str">
        <f t="shared" si="3"/>
        <v>Approved</v>
      </c>
      <c r="N6" t="str">
        <f t="shared" si="4"/>
        <v>Not under review</v>
      </c>
      <c r="O6" t="str">
        <f t="shared" si="5"/>
        <v>Priority</v>
      </c>
      <c r="P6" t="str">
        <f>IF(AND(B6&gt;=650,C6&gt;=40000,D6="No"),"Approved","Not approved")</f>
        <v>Approved</v>
      </c>
      <c r="Q6" t="str">
        <f t="shared" si="6"/>
        <v>Young Customer</v>
      </c>
    </row>
    <row r="7" spans="1:17" ht="19.5" customHeight="1">
      <c r="A7" s="20" t="s">
        <v>80</v>
      </c>
      <c r="B7" s="21">
        <v>650</v>
      </c>
      <c r="C7" s="21">
        <v>47000</v>
      </c>
      <c r="D7" s="21" t="s">
        <v>48</v>
      </c>
      <c r="E7" s="21">
        <v>31</v>
      </c>
      <c r="H7" t="str">
        <f t="shared" si="0"/>
        <v>Approve</v>
      </c>
      <c r="I7" t="str">
        <f t="shared" si="1"/>
        <v>Standard</v>
      </c>
      <c r="J7" t="str" cm="1">
        <f t="array" ref="J7">_xlfn.IFS(B7&gt;750,"A",B7&gt;650,"B",B7&gt;550,"C",B7&lt;550,"F")</f>
        <v>C</v>
      </c>
      <c r="L7" t="str">
        <f t="shared" si="2"/>
        <v>Not Eligible</v>
      </c>
      <c r="M7" t="str">
        <f t="shared" si="3"/>
        <v>Not Approved</v>
      </c>
      <c r="N7" t="str">
        <f t="shared" si="4"/>
        <v>Not under review</v>
      </c>
      <c r="O7" t="str">
        <f t="shared" si="5"/>
        <v>Not priority</v>
      </c>
      <c r="P7" t="str">
        <f>IF(AND(B7&gt;=650,C7&gt;=40000,D7="No"),"Approved","Not approved")</f>
        <v>Approved</v>
      </c>
      <c r="Q7" t="str">
        <f t="shared" si="6"/>
        <v>Old customer</v>
      </c>
    </row>
    <row r="8" spans="1:17" ht="19.5" customHeight="1">
      <c r="A8" s="8" t="s">
        <v>81</v>
      </c>
      <c r="B8" s="16">
        <v>540</v>
      </c>
      <c r="C8" s="16">
        <v>28000</v>
      </c>
      <c r="D8" s="16" t="s">
        <v>44</v>
      </c>
      <c r="E8" s="16">
        <v>52</v>
      </c>
      <c r="H8" t="str">
        <f t="shared" si="0"/>
        <v>Reject</v>
      </c>
      <c r="I8" t="str">
        <f t="shared" si="1"/>
        <v>Standard</v>
      </c>
      <c r="J8" t="str" cm="1">
        <f t="array" ref="J8">_xlfn.IFS(B8&gt;750,"A",B8&gt;650,"B",B8&gt;550,"C",B8&lt;550,"F")</f>
        <v>F</v>
      </c>
      <c r="L8" t="str">
        <f t="shared" si="2"/>
        <v>Not Eligible</v>
      </c>
      <c r="M8" t="str">
        <f t="shared" si="3"/>
        <v>Not Approved</v>
      </c>
      <c r="N8" t="str">
        <f t="shared" si="4"/>
        <v>Under Review</v>
      </c>
      <c r="O8" t="str">
        <f t="shared" si="5"/>
        <v>Not priority</v>
      </c>
      <c r="P8" t="str">
        <f>IF(AND(B8&gt;=650,C8&gt;=40000,D8="No"),"Approved","Not approved")</f>
        <v>Not approved</v>
      </c>
      <c r="Q8" t="str">
        <f t="shared" si="6"/>
        <v>Old customer</v>
      </c>
    </row>
    <row r="9" spans="1:17" ht="19.5" customHeight="1">
      <c r="A9" s="20" t="s">
        <v>82</v>
      </c>
      <c r="B9" s="21">
        <v>760</v>
      </c>
      <c r="C9" s="21">
        <v>68000</v>
      </c>
      <c r="D9" s="21" t="s">
        <v>48</v>
      </c>
      <c r="E9" s="21">
        <v>39</v>
      </c>
      <c r="H9" t="str">
        <f t="shared" si="0"/>
        <v>Approve</v>
      </c>
      <c r="I9" t="str">
        <f t="shared" si="1"/>
        <v>High Income</v>
      </c>
      <c r="J9" t="str" cm="1">
        <f t="array" ref="J9">_xlfn.IFS(B9&gt;750,"A",B9&gt;650,"B",B9&gt;550,"C",B9&lt;550,"F")</f>
        <v>A</v>
      </c>
      <c r="L9" t="str">
        <f t="shared" si="2"/>
        <v>Eligible</v>
      </c>
      <c r="M9" t="str">
        <f t="shared" si="3"/>
        <v>Approved</v>
      </c>
      <c r="N9" t="str">
        <f t="shared" si="4"/>
        <v>Not under review</v>
      </c>
      <c r="O9" t="str">
        <f t="shared" si="5"/>
        <v>Priority</v>
      </c>
      <c r="P9" t="str">
        <f>IF(AND(B9&gt;=650,C9&gt;=40000,D9="No"),"Approved","Not approved")</f>
        <v>Approved</v>
      </c>
      <c r="Q9" t="str">
        <f t="shared" si="6"/>
        <v>Young Customer</v>
      </c>
    </row>
    <row r="10" spans="1:17" ht="19.5" customHeight="1">
      <c r="A10" s="8" t="s">
        <v>83</v>
      </c>
      <c r="B10" s="16">
        <v>490</v>
      </c>
      <c r="C10" s="16">
        <v>22000</v>
      </c>
      <c r="D10" s="16" t="s">
        <v>44</v>
      </c>
      <c r="E10" s="16">
        <v>25</v>
      </c>
      <c r="H10" t="str">
        <f t="shared" si="0"/>
        <v>Reject</v>
      </c>
      <c r="I10" t="str">
        <f t="shared" si="1"/>
        <v>Standard</v>
      </c>
      <c r="J10" t="str" cm="1">
        <f t="array" ref="J10">_xlfn.IFS(B10&gt;750,"A",B10&gt;650,"B",B10&gt;550,"C",B10&lt;550,"F")</f>
        <v>F</v>
      </c>
      <c r="L10" t="str">
        <f t="shared" si="2"/>
        <v>Not Eligible</v>
      </c>
      <c r="M10" t="str">
        <f t="shared" si="3"/>
        <v>Not Approved</v>
      </c>
      <c r="N10" t="str">
        <f t="shared" si="4"/>
        <v>Under Review</v>
      </c>
      <c r="O10" t="str">
        <f t="shared" si="5"/>
        <v>Not priority</v>
      </c>
      <c r="P10" t="str">
        <f>IF(AND(B10&gt;=650,C10&gt;=40000,D10="No"),"Approved","Not approved")</f>
        <v>Not approved</v>
      </c>
      <c r="Q10" t="str">
        <f t="shared" si="6"/>
        <v>Old customer</v>
      </c>
    </row>
    <row r="11" spans="1:17" ht="19.5" customHeight="1">
      <c r="A11" s="20" t="s">
        <v>84</v>
      </c>
      <c r="B11" s="21">
        <v>700</v>
      </c>
      <c r="C11" s="21">
        <v>51000</v>
      </c>
      <c r="D11" s="21" t="s">
        <v>48</v>
      </c>
      <c r="E11" s="21">
        <v>43</v>
      </c>
      <c r="H11" t="str">
        <f t="shared" si="0"/>
        <v>Approve</v>
      </c>
      <c r="I11" t="str">
        <f t="shared" si="1"/>
        <v>Standard</v>
      </c>
      <c r="J11" t="str" cm="1">
        <f t="array" ref="J11">_xlfn.IFS(B11&gt;750,"A",B11&gt;650,"B",B11&gt;550,"C",B11&lt;550,"F")</f>
        <v>B</v>
      </c>
      <c r="L11" t="str">
        <f>IF(AND(B11&gt;650,D11="No"),"Eligible","Not Eligible")</f>
        <v>Eligible</v>
      </c>
      <c r="M11" t="str">
        <f t="shared" si="3"/>
        <v>Approved</v>
      </c>
      <c r="N11" t="str">
        <f t="shared" si="4"/>
        <v>Not under review</v>
      </c>
      <c r="O11" t="str">
        <f t="shared" si="5"/>
        <v>Not priority</v>
      </c>
      <c r="P11" t="str">
        <f>IF(AND(B11&gt;=650,C11&gt;=40000,D11="No"),"Approved","Not approved")</f>
        <v>Approved</v>
      </c>
      <c r="Q11" t="str">
        <f t="shared" si="6"/>
        <v>Young Customer</v>
      </c>
    </row>
    <row r="12" spans="1:17" ht="14.25" customHeight="1"/>
    <row r="13" spans="1:17" ht="19.5" customHeight="1"/>
    <row r="14" spans="1:17" ht="14.25" customHeight="1">
      <c r="A14" s="22" t="s">
        <v>85</v>
      </c>
      <c r="B14" s="22" t="s">
        <v>86</v>
      </c>
    </row>
    <row r="15" spans="1:17" ht="14.25" customHeight="1">
      <c r="A15" s="23" t="s">
        <v>87</v>
      </c>
      <c r="B15" s="23" t="s">
        <v>88</v>
      </c>
    </row>
    <row r="16" spans="1:17" ht="14.25" customHeight="1">
      <c r="A16" s="23" t="s">
        <v>89</v>
      </c>
      <c r="B16" s="23" t="s">
        <v>90</v>
      </c>
    </row>
    <row r="17" spans="1:2" ht="14.25" customHeight="1">
      <c r="A17" s="23" t="s">
        <v>91</v>
      </c>
      <c r="B17" s="23" t="s">
        <v>92</v>
      </c>
    </row>
    <row r="18" spans="1:2" ht="14.25" customHeight="1">
      <c r="A18" s="23" t="s">
        <v>93</v>
      </c>
      <c r="B18" s="23" t="s">
        <v>94</v>
      </c>
    </row>
    <row r="19" spans="1:2" ht="14.25" customHeight="1">
      <c r="A19" s="23" t="s">
        <v>95</v>
      </c>
      <c r="B19" s="23" t="s">
        <v>96</v>
      </c>
    </row>
    <row r="20" spans="1:2" ht="14.25" customHeight="1">
      <c r="A20" s="23" t="s">
        <v>97</v>
      </c>
      <c r="B20" s="23" t="s">
        <v>98</v>
      </c>
    </row>
    <row r="21" spans="1:2" ht="14.25" customHeight="1">
      <c r="A21" s="23" t="s">
        <v>99</v>
      </c>
      <c r="B21" s="23" t="s">
        <v>100</v>
      </c>
    </row>
    <row r="22" spans="1:2" ht="14.25" customHeight="1">
      <c r="A22" s="23" t="s">
        <v>101</v>
      </c>
      <c r="B22" s="23" t="s">
        <v>102</v>
      </c>
    </row>
    <row r="23" spans="1:2" ht="14.25" customHeight="1">
      <c r="A23" s="23" t="s">
        <v>103</v>
      </c>
      <c r="B23" s="23" t="s">
        <v>104</v>
      </c>
    </row>
    <row r="24" spans="1:2" ht="14.25" customHeight="1">
      <c r="A24" s="23" t="s">
        <v>105</v>
      </c>
      <c r="B24" s="23" t="s">
        <v>106</v>
      </c>
    </row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2">
    <mergeCell ref="A1:E1"/>
    <mergeCell ref="A2:E2"/>
  </mergeCells>
  <phoneticPr fontId="15" type="noConversion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Logical Functions</vt:lpstr>
      <vt:lpstr>Examples - Logical Functions</vt:lpstr>
      <vt:lpstr>Tasks - 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K.Unni</cp:lastModifiedBy>
  <dcterms:created xsi:type="dcterms:W3CDTF">2026-07-01T09:17:31Z</dcterms:created>
  <dcterms:modified xsi:type="dcterms:W3CDTF">2026-07-21T07:09:46Z</dcterms:modified>
</cp:coreProperties>
</file>